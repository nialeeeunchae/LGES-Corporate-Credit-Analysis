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0"/>
  <workbookPr defaultThemeVersion="166925"/>
  <mc:AlternateContent xmlns:mc="http://schemas.openxmlformats.org/markup-compatibility/2006">
    <mc:Choice Requires="x15">
      <x15ac:absPath xmlns:x15ac="http://schemas.microsoft.com/office/spreadsheetml/2010/11/ac" url="/Users/imcherry/Downloads/"/>
    </mc:Choice>
  </mc:AlternateContent>
  <xr:revisionPtr revIDLastSave="0" documentId="8_{F204675D-0E39-B64E-9C90-CE3451447A53}" xr6:coauthVersionLast="47" xr6:coauthVersionMax="47" xr10:uidLastSave="{00000000-0000-0000-0000-000000000000}"/>
  <bookViews>
    <workbookView xWindow="11000" yWindow="2860" windowWidth="18400" windowHeight="13580" firstSheet="1" activeTab="4" xr2:uid="{00000000-000D-0000-FFFF-FFFF00000000}"/>
  </bookViews>
  <sheets>
    <sheet name="Financial Statements" sheetId="1" r:id="rId1"/>
    <sheet name="Financial Ratios" sheetId="2" r:id="rId2"/>
    <sheet name="Credit Analysis" sheetId="3" r:id="rId3"/>
    <sheet name="Scenario Analysis" sheetId="4" r:id="rId4"/>
    <sheet name="Sources&amp;Assumption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4" i="4" l="1"/>
  <c r="C24" i="4"/>
  <c r="D24" i="4"/>
  <c r="E24" i="4"/>
  <c r="F24" i="4"/>
  <c r="B25" i="4"/>
  <c r="C25" i="4"/>
  <c r="D25" i="4"/>
  <c r="E25" i="4"/>
  <c r="F25" i="4"/>
  <c r="B26" i="4"/>
  <c r="C26" i="4"/>
  <c r="D26" i="4"/>
  <c r="E26" i="4"/>
  <c r="F26" i="4"/>
  <c r="B27" i="4"/>
  <c r="C27" i="4"/>
  <c r="D27" i="4"/>
  <c r="E27" i="4"/>
  <c r="F27" i="4"/>
  <c r="C23" i="4"/>
  <c r="D23" i="4"/>
  <c r="E23" i="4"/>
  <c r="F23" i="4"/>
  <c r="B23" i="4"/>
  <c r="B17" i="4"/>
  <c r="B16" i="4"/>
  <c r="B14" i="4"/>
  <c r="B13" i="4"/>
  <c r="B12" i="4"/>
  <c r="B11" i="4"/>
  <c r="B10" i="4"/>
  <c r="B9" i="4"/>
  <c r="B8" i="4"/>
  <c r="B7" i="4"/>
  <c r="B6" i="4"/>
  <c r="B5" i="4"/>
  <c r="B4" i="4"/>
  <c r="B3" i="4"/>
  <c r="D18" i="3"/>
  <c r="C18" i="3"/>
  <c r="B18" i="3"/>
  <c r="D17" i="3"/>
  <c r="C17" i="3"/>
  <c r="B17" i="3"/>
  <c r="D13" i="3"/>
  <c r="C13" i="3"/>
  <c r="B13" i="3"/>
  <c r="D12" i="3"/>
  <c r="D14" i="3" s="1"/>
  <c r="C12" i="3"/>
  <c r="C14" i="3" s="1"/>
  <c r="B12" i="3"/>
  <c r="B14" i="3" s="1"/>
  <c r="D10" i="3"/>
  <c r="C10" i="3"/>
  <c r="B10" i="3"/>
  <c r="D3" i="3"/>
  <c r="C3" i="3"/>
  <c r="B3" i="3"/>
  <c r="C3" i="2"/>
  <c r="D3" i="2"/>
  <c r="C4" i="2"/>
  <c r="D4" i="2"/>
  <c r="C5" i="2"/>
  <c r="D5" i="2"/>
  <c r="C6" i="2"/>
  <c r="D6" i="2"/>
  <c r="C7" i="2"/>
  <c r="D7" i="2"/>
  <c r="C8" i="2"/>
  <c r="D8" i="2"/>
  <c r="C9" i="2"/>
  <c r="D9" i="2"/>
  <c r="C10" i="2"/>
  <c r="D10" i="2"/>
  <c r="C11" i="2"/>
  <c r="D11" i="2"/>
  <c r="C12" i="2"/>
  <c r="D12" i="2"/>
  <c r="B10" i="2"/>
  <c r="B11" i="2" s="1"/>
  <c r="B9" i="2"/>
  <c r="B12" i="2" s="1"/>
  <c r="B8" i="2"/>
  <c r="B7" i="2"/>
  <c r="B6" i="2"/>
  <c r="B5" i="2"/>
  <c r="B4" i="2"/>
  <c r="B3" i="2"/>
  <c r="D2" i="2"/>
  <c r="C2" i="2"/>
  <c r="D9" i="1"/>
  <c r="C9" i="1"/>
  <c r="B9" i="1"/>
  <c r="D4" i="4" l="1"/>
  <c r="C4" i="4"/>
  <c r="D7" i="4"/>
  <c r="C7" i="4"/>
  <c r="B8" i="3"/>
  <c r="B6" i="3"/>
  <c r="B9" i="3" s="1"/>
  <c r="C8" i="3"/>
  <c r="C6" i="3"/>
  <c r="C9" i="3" s="1"/>
  <c r="D8" i="3"/>
  <c r="D6" i="3"/>
  <c r="D9" i="3" s="1"/>
  <c r="B11" i="3"/>
  <c r="C11" i="3"/>
  <c r="D11" i="3"/>
  <c r="C10" i="4" l="1"/>
  <c r="C12" i="4" s="1"/>
  <c r="C13" i="4" s="1"/>
  <c r="C6" i="4"/>
  <c r="D10" i="4"/>
  <c r="D12" i="4" s="1"/>
  <c r="D13" i="4" s="1"/>
  <c r="D6" i="4"/>
  <c r="D8" i="4" l="1"/>
  <c r="D14" i="4"/>
  <c r="D16" i="4"/>
  <c r="D17" i="4" s="1"/>
  <c r="C8" i="4"/>
  <c r="C14" i="4"/>
  <c r="C16" i="4"/>
  <c r="C17" i="4" s="1"/>
</calcChain>
</file>

<file path=xl/sharedStrings.xml><?xml version="1.0" encoding="utf-8"?>
<sst xmlns="http://schemas.openxmlformats.org/spreadsheetml/2006/main" count="113" uniqueCount="94">
  <si>
    <t>Financial Metric</t>
  </si>
  <si>
    <t>KRW million</t>
  </si>
  <si>
    <t>Revenue</t>
  </si>
  <si>
    <t>Operating Profit</t>
  </si>
  <si>
    <t>Profit for the year (Consolidated)</t>
  </si>
  <si>
    <t>Current Borrowings</t>
  </si>
  <si>
    <t>Non-Current Borrowings</t>
  </si>
  <si>
    <t>Total Borrowings</t>
  </si>
  <si>
    <t>Total Assets</t>
  </si>
  <si>
    <t>Total Liabilities</t>
  </si>
  <si>
    <t>Total Equity</t>
  </si>
  <si>
    <t>Operating Cash Flow</t>
  </si>
  <si>
    <t>Capital Expenditure (PPE)</t>
  </si>
  <si>
    <t>Financial Ratio</t>
  </si>
  <si>
    <t>Revenue Growth</t>
  </si>
  <si>
    <t>N/A</t>
  </si>
  <si>
    <t>Operating Profit Margin</t>
  </si>
  <si>
    <t>Net Profit Margin</t>
  </si>
  <si>
    <t>Operating Cash Flow Margin</t>
  </si>
  <si>
    <t>Debt-to-Equity</t>
  </si>
  <si>
    <t>Cash / Current Borrowings</t>
  </si>
  <si>
    <t>Liabilities / Assets</t>
  </si>
  <si>
    <t>Net Debt (KRW million)</t>
  </si>
  <si>
    <t>Free Cash Flow (PPE-only)</t>
  </si>
  <si>
    <t>Free Cash Flow Margin</t>
  </si>
  <si>
    <t>Net Debt-to-Equity</t>
  </si>
  <si>
    <t>Credit Metric</t>
  </si>
  <si>
    <t>KRW million, except ratios (x)</t>
  </si>
  <si>
    <t>Operating Profit (EBIT proxy)</t>
  </si>
  <si>
    <t>Depreciation</t>
  </si>
  <si>
    <t>Amortisation</t>
  </si>
  <si>
    <t>EBITDA</t>
  </si>
  <si>
    <t>Interest Expense</t>
  </si>
  <si>
    <t>Interest Coverage (EBIT / Interest)</t>
  </si>
  <si>
    <t>EBITDA / Interest Expense</t>
  </si>
  <si>
    <t>Net Debt</t>
  </si>
  <si>
    <t>Net Debt / EBITDA</t>
  </si>
  <si>
    <t>Borrowings / Operating Cash Flow</t>
  </si>
  <si>
    <t>Current Assets</t>
  </si>
  <si>
    <t>Current Liabilities</t>
  </si>
  <si>
    <t>Current Ratio</t>
  </si>
  <si>
    <t>2025 Actual</t>
  </si>
  <si>
    <t>2026 Base</t>
  </si>
  <si>
    <t>2026 Downside</t>
  </si>
  <si>
    <t>KRW million, except % and ratios</t>
  </si>
  <si>
    <t>Depreciation &amp; Amortisation</t>
  </si>
  <si>
    <t>EBITDA (proxy)</t>
  </si>
  <si>
    <t>PPE CapEx (cash outflow)</t>
  </si>
  <si>
    <t>Net Debt (simplified)</t>
  </si>
  <si>
    <t>Incremental Funding Rate</t>
  </si>
  <si>
    <t>Interest Expense (proxy)</t>
  </si>
  <si>
    <t>Interest Coverage</t>
  </si>
  <si>
    <t>Sensitivity Analysis—Net Debt/EBITDA</t>
  </si>
  <si>
    <t>Operating Margin/Revenue Growth</t>
  </si>
  <si>
    <t>Data Sources</t>
  </si>
  <si>
    <t>Data Category</t>
  </si>
  <si>
    <t>2023 Data Source</t>
  </si>
  <si>
    <t>2024 Data Source</t>
  </si>
  <si>
    <t>2025 Data Source</t>
  </si>
  <si>
    <t>Income Statement</t>
  </si>
  <si>
    <t>Balance Sheet</t>
  </si>
  <si>
    <t>Cash Flow Statement</t>
  </si>
  <si>
    <t>2024 Report, 84</t>
  </si>
  <si>
    <t>2025 Report, 88</t>
  </si>
  <si>
    <t>2024 Report, 85</t>
  </si>
  <si>
    <t>2025 Report, 89</t>
  </si>
  <si>
    <t>2023 LGES Consolidated Audit Report</t>
  </si>
  <si>
    <t>https://www.lgensol.com/upload/file/audit-report/234Q_LGES_Audit_Report_CONFS_en.pdf</t>
  </si>
  <si>
    <t>2024 LGES Consolidated Audit Report</t>
  </si>
  <si>
    <t>https://www.lgensol.com/upload/file/audit-report/2024_LGES_Audit_Report_Consolidated_FS_ENG.pdf</t>
  </si>
  <si>
    <t>2025 LGES Consolidated Audit Report</t>
  </si>
  <si>
    <t>https://www.lgensol.com/upload/file/download/2025_LGES_Audit_Report_ConFS_ENG[0].pdf</t>
  </si>
  <si>
    <t>EBIT Proxy</t>
  </si>
  <si>
    <t>Reported operating profit from the consolidated income statement.</t>
  </si>
  <si>
    <t>Operating profit + Depreciation + Amortisation. An analytical proxy, not a company-reported adjusted EBITDA.</t>
  </si>
  <si>
    <t>Operating profit / Reported interest expense.</t>
  </si>
  <si>
    <t>Current and non-current borrowings less cash and cash equivalents.</t>
  </si>
  <si>
    <t>Free Cash Flow</t>
  </si>
  <si>
    <t>Operating cash flow less acquisition of property, plant and equipment (PPE-only CapEx).</t>
  </si>
  <si>
    <t>Total borrowings / Total equity.</t>
  </si>
  <si>
    <t>Current assets / Current liabilities.</t>
  </si>
  <si>
    <t>Data Notes</t>
  </si>
  <si>
    <t>2024 interest expense</t>
  </si>
  <si>
    <t>KRW 564,246 million is taken from the 2025 audit report's comparative figures, compared with KRW 564,200 million in the original 2024 report. The KRW 46 million difference has not been independently reconciled.</t>
  </si>
  <si>
    <t>Reporting Basis</t>
  </si>
  <si>
    <t>All financial data are consolidated and presented in KRW million unless otherwise stated.</t>
  </si>
  <si>
    <t>Illustrative 2026 scenarios based on FY2025 audited financial statements, not company guidance. Base and downside assumptions are hypothetical. Depreciation and amortisation are held constant at FY2025 levels. Negative free cash flow is assumed to be debt-funded, with additional interest estimated using average incremental financing. The model excludes dividends, asset disposals, FX adjustments and the feedback of additional interest costs into operating cash flow. Interim 2026 financial results are not incorporated.</t>
  </si>
  <si>
    <t>Cash &amp; Cash Equivalents</t>
    <phoneticPr fontId="6" type="noConversion"/>
  </si>
  <si>
    <t>Sources &amp; Assumptions</t>
    <phoneticPr fontId="6" type="noConversion"/>
  </si>
  <si>
    <t>Financial Definitions &amp; Methodology</t>
    <phoneticPr fontId="6" type="noConversion"/>
  </si>
  <si>
    <t>Depreciation&amp;Amortisation</t>
    <phoneticPr fontId="6" type="noConversion"/>
  </si>
  <si>
    <t>2025 current assets</t>
    <phoneticPr fontId="6" type="noConversion"/>
  </si>
  <si>
    <t>It includes KRW 3,911,334 million of assets held for sale, which should be considered when interpreting the current ratio.</t>
    <phoneticPr fontId="6" type="noConversion"/>
  </si>
  <si>
    <t>Scenario Assumptions &amp; Limitations</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</si>
</sst>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Red]\(#,##0\);&quot;-&quot;"/>
    <numFmt numFmtId="177" formatCode="0.00&quot;x&quot;"/>
    <numFmt numFmtId="178" formatCode="#,##0;\(#,##0\);&quot;-&quot;"/>
  </numFmts>
  <fonts count="7">
    <font>
      <sz val="11"/>
      <color theme="1"/>
      <name val="맑은 고딕"/>
      <family val="2"/>
      <scheme val="minor"/>
    </font>
    <font>
      <u/>
      <sz val="11"/>
      <color theme="10"/>
      <name val="맑은 고딕"/>
      <family val="2"/>
      <scheme val="minor"/>
    </font>
    <font>
      <sz val="11"/>
      <color rgb="FF0070C0"/>
      <name val="맑은 고딕"/>
      <family val="2"/>
      <scheme val="minor"/>
    </font>
    <font>
      <sz val="11"/>
      <color rgb="FF00B050"/>
      <name val="맑은 고딕"/>
      <family val="2"/>
      <scheme val="minor"/>
    </font>
    <font>
      <sz val="11"/>
      <color rgb="FF000000"/>
      <name val="Calibri"/>
      <family val="2"/>
    </font>
    <font>
      <sz val="11"/>
      <color rgb="FF000000"/>
      <name val="맑은 고딕"/>
      <family val="2"/>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176" fontId="0" fillId="0" borderId="0" xfId="0" quotePrefix="1" applyNumberFormat="1"/>
    <xf numFmtId="176" fontId="0" fillId="0" borderId="0" xfId="0" applyNumberFormat="1"/>
    <xf numFmtId="10" fontId="0" fillId="0" borderId="0" xfId="0" applyNumberFormat="1"/>
    <xf numFmtId="3" fontId="0" fillId="0" borderId="0" xfId="0" applyNumberFormat="1"/>
    <xf numFmtId="177" fontId="0" fillId="0" borderId="0" xfId="0" applyNumberFormat="1"/>
    <xf numFmtId="3" fontId="2" fillId="0" borderId="0" xfId="0" applyNumberFormat="1" applyFont="1"/>
    <xf numFmtId="176" fontId="2" fillId="0" borderId="0" xfId="0" quotePrefix="1" applyNumberFormat="1" applyFont="1"/>
    <xf numFmtId="176" fontId="2" fillId="0" borderId="0" xfId="0" applyNumberFormat="1" applyFont="1"/>
    <xf numFmtId="177" fontId="3" fillId="0" borderId="0" xfId="0" applyNumberFormat="1" applyFont="1"/>
    <xf numFmtId="3" fontId="3" fillId="0" borderId="0" xfId="0" applyNumberFormat="1" applyFont="1"/>
    <xf numFmtId="0" fontId="1" fillId="0" borderId="0" xfId="1"/>
    <xf numFmtId="0" fontId="5" fillId="0" borderId="0" xfId="0" applyFont="1"/>
    <xf numFmtId="0" fontId="0" fillId="0" borderId="0" xfId="0" applyAlignment="1">
      <alignment horizontal="left"/>
    </xf>
    <xf numFmtId="0" fontId="4" fillId="0" borderId="0" xfId="0" applyFont="1"/>
    <xf numFmtId="10" fontId="2" fillId="0" borderId="0" xfId="0" applyNumberFormat="1" applyFont="1"/>
    <xf numFmtId="10" fontId="3" fillId="0" borderId="0" xfId="0" applyNumberFormat="1" applyFont="1"/>
    <xf numFmtId="178" fontId="3" fillId="0" borderId="0" xfId="0" applyNumberFormat="1" applyFont="1"/>
    <xf numFmtId="178" fontId="0" fillId="0" borderId="0" xfId="0" applyNumberFormat="1"/>
  </cellXfs>
  <cellStyles count="2">
    <cellStyle name="표준" xfId="0" builtinId="0"/>
    <cellStyle name="하이퍼링크" xfId="1" builtinId="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hyperlink" Target="https://www.lgensol.com/upload/file/download/2025_LGES_Audit_Report_ConFS_ENG%5b0%5d.pdf" TargetMode="External"/><Relationship Id="rId2" Type="http://schemas.openxmlformats.org/officeDocument/2006/relationships/hyperlink" Target="https://www.lgensol.com/upload/file/audit-report/2024_LGES_Audit_Report_Consolidated_FS_ENG.pdf" TargetMode="External"/><Relationship Id="rId1" Type="http://schemas.openxmlformats.org/officeDocument/2006/relationships/hyperlink" Target="https://www.lgensol.com/upload/file/audit-report/234Q_LGES_Audit_Report_CONFS_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selection activeCell="A19" sqref="A19"/>
    </sheetView>
  </sheetViews>
  <sheetFormatPr baseColWidth="10" defaultColWidth="9.1640625" defaultRowHeight="17"/>
  <cols>
    <col min="1" max="1" width="30.5" bestFit="1" customWidth="1"/>
    <col min="2" max="4" width="12.5" bestFit="1" customWidth="1"/>
  </cols>
  <sheetData>
    <row r="1" spans="1:4">
      <c r="A1" t="s">
        <v>0</v>
      </c>
      <c r="B1">
        <v>2023</v>
      </c>
      <c r="C1">
        <v>2024</v>
      </c>
      <c r="D1">
        <v>2025</v>
      </c>
    </row>
    <row r="2" spans="1:4">
      <c r="A2" s="12" t="s">
        <v>1</v>
      </c>
      <c r="B2" s="1"/>
      <c r="C2" s="1"/>
      <c r="D2" s="1"/>
    </row>
    <row r="3" spans="1:4">
      <c r="A3" s="12" t="s">
        <v>2</v>
      </c>
      <c r="B3" s="7">
        <v>33745470</v>
      </c>
      <c r="C3" s="7">
        <v>25619585</v>
      </c>
      <c r="D3" s="8">
        <v>23671759</v>
      </c>
    </row>
    <row r="4" spans="1:4">
      <c r="A4" s="12" t="s">
        <v>3</v>
      </c>
      <c r="B4" s="8">
        <v>2163234</v>
      </c>
      <c r="C4" s="8">
        <v>575387</v>
      </c>
      <c r="D4" s="8">
        <v>1346120</v>
      </c>
    </row>
    <row r="5" spans="1:4">
      <c r="A5" s="12" t="s">
        <v>4</v>
      </c>
      <c r="B5" s="8">
        <v>1637985</v>
      </c>
      <c r="C5" s="8">
        <v>338602</v>
      </c>
      <c r="D5" s="8">
        <v>80803</v>
      </c>
    </row>
    <row r="6" spans="1:4">
      <c r="A6" s="12" t="s">
        <v>87</v>
      </c>
      <c r="B6" s="8">
        <v>5068783</v>
      </c>
      <c r="C6" s="8">
        <v>3898711</v>
      </c>
      <c r="D6" s="8">
        <v>3779307</v>
      </c>
    </row>
    <row r="7" spans="1:4">
      <c r="A7" s="12" t="s">
        <v>5</v>
      </c>
      <c r="B7" s="8">
        <v>3211456</v>
      </c>
      <c r="C7" s="8">
        <v>2490240</v>
      </c>
      <c r="D7" s="8">
        <v>6686206</v>
      </c>
    </row>
    <row r="8" spans="1:4">
      <c r="A8" s="12" t="s">
        <v>6</v>
      </c>
      <c r="B8" s="8">
        <v>7720832</v>
      </c>
      <c r="C8" s="8">
        <v>12900311</v>
      </c>
      <c r="D8" s="8">
        <v>15825890</v>
      </c>
    </row>
    <row r="9" spans="1:4">
      <c r="A9" s="12" t="s">
        <v>7</v>
      </c>
      <c r="B9" s="2">
        <f>B7+B8</f>
        <v>10932288</v>
      </c>
      <c r="C9" s="2">
        <f>C7+C8</f>
        <v>15390551</v>
      </c>
      <c r="D9" s="2">
        <f>D7+D8</f>
        <v>22512096</v>
      </c>
    </row>
    <row r="10" spans="1:4">
      <c r="A10" s="12" t="s">
        <v>8</v>
      </c>
      <c r="B10" s="8">
        <v>45437144</v>
      </c>
      <c r="C10" s="8">
        <v>60306791</v>
      </c>
      <c r="D10" s="8">
        <v>67147953</v>
      </c>
    </row>
    <row r="11" spans="1:4">
      <c r="A11" s="12" t="s">
        <v>9</v>
      </c>
      <c r="B11" s="8">
        <v>21063635</v>
      </c>
      <c r="C11" s="8">
        <v>29340248</v>
      </c>
      <c r="D11" s="8">
        <v>37826277</v>
      </c>
    </row>
    <row r="12" spans="1:4">
      <c r="A12" s="12" t="s">
        <v>10</v>
      </c>
      <c r="B12" s="8">
        <v>24373509</v>
      </c>
      <c r="C12" s="8">
        <v>30966543</v>
      </c>
      <c r="D12" s="8">
        <v>29321676</v>
      </c>
    </row>
    <row r="13" spans="1:4">
      <c r="A13" s="12" t="s">
        <v>11</v>
      </c>
      <c r="B13" s="8">
        <v>4444179</v>
      </c>
      <c r="C13" s="8">
        <v>5111700</v>
      </c>
      <c r="D13" s="8">
        <v>4432277</v>
      </c>
    </row>
    <row r="14" spans="1:4">
      <c r="A14" s="12" t="s">
        <v>12</v>
      </c>
      <c r="B14" s="8">
        <v>9923051</v>
      </c>
      <c r="C14" s="8">
        <v>12399017</v>
      </c>
      <c r="D14" s="8">
        <v>10833917</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31391-2F03-428E-B682-DF247A7B34FD}">
  <dimension ref="A1:D12"/>
  <sheetViews>
    <sheetView workbookViewId="0">
      <selection activeCell="H18" sqref="H18"/>
    </sheetView>
  </sheetViews>
  <sheetFormatPr baseColWidth="10" defaultColWidth="8.83203125" defaultRowHeight="17"/>
  <cols>
    <col min="1" max="1" width="26.5" bestFit="1" customWidth="1"/>
    <col min="2" max="2" width="11.5" bestFit="1" customWidth="1"/>
    <col min="3" max="4" width="12.5" bestFit="1" customWidth="1"/>
  </cols>
  <sheetData>
    <row r="1" spans="1:4">
      <c r="A1" t="s">
        <v>13</v>
      </c>
      <c r="B1">
        <v>2023</v>
      </c>
      <c r="C1">
        <v>2024</v>
      </c>
      <c r="D1">
        <v>2025</v>
      </c>
    </row>
    <row r="2" spans="1:4">
      <c r="A2" t="s">
        <v>14</v>
      </c>
      <c r="B2" s="3" t="s">
        <v>15</v>
      </c>
      <c r="C2" s="3">
        <f>('Financial Statements'!C3/'Financial Statements'!B3)-1</f>
        <v>-0.24079928357791436</v>
      </c>
      <c r="D2" s="3">
        <f>('Financial Statements'!D3/'Financial Statements'!C3)-1</f>
        <v>-7.6028788132204372E-2</v>
      </c>
    </row>
    <row r="3" spans="1:4">
      <c r="A3" t="s">
        <v>16</v>
      </c>
      <c r="B3" s="3">
        <f>'Financial Statements'!B4/'Financial Statements'!B3</f>
        <v>6.4104426460796074E-2</v>
      </c>
      <c r="C3" s="3">
        <f>'Financial Statements'!C4/'Financial Statements'!C3</f>
        <v>2.2458872772529299E-2</v>
      </c>
      <c r="D3" s="3">
        <f>'Financial Statements'!D4/'Financial Statements'!D3</f>
        <v>5.6866074042068442E-2</v>
      </c>
    </row>
    <row r="4" spans="1:4">
      <c r="A4" t="s">
        <v>17</v>
      </c>
      <c r="B4" s="3">
        <f>'Financial Statements'!B5/'Financial Statements'!B3</f>
        <v>4.8539403955553145E-2</v>
      </c>
      <c r="C4" s="3">
        <f>'Financial Statements'!C5/'Financial Statements'!C3</f>
        <v>1.3216529463689595E-2</v>
      </c>
      <c r="D4" s="3">
        <f>'Financial Statements'!D5/'Financial Statements'!D3</f>
        <v>3.4134767931694471E-3</v>
      </c>
    </row>
    <row r="5" spans="1:4">
      <c r="A5" t="s">
        <v>18</v>
      </c>
      <c r="B5" s="3">
        <f>'Financial Statements'!B13/'Financial Statements'!B3</f>
        <v>0.13169705444908605</v>
      </c>
      <c r="C5" s="3">
        <f>'Financial Statements'!C13/'Financial Statements'!C3</f>
        <v>0.19952313825536205</v>
      </c>
      <c r="D5" s="3">
        <f>'Financial Statements'!D13/'Financial Statements'!D3</f>
        <v>0.18723902182343102</v>
      </c>
    </row>
    <row r="6" spans="1:4">
      <c r="A6" t="s">
        <v>19</v>
      </c>
      <c r="B6" s="5">
        <f>'Financial Statements'!B9/'Financial Statements'!B12</f>
        <v>0.44853155940738776</v>
      </c>
      <c r="C6" s="5">
        <f>'Financial Statements'!C9/'Financial Statements'!C12</f>
        <v>0.49700578459791267</v>
      </c>
      <c r="D6" s="5">
        <f>'Financial Statements'!D9/'Financial Statements'!D12</f>
        <v>0.76776293415151298</v>
      </c>
    </row>
    <row r="7" spans="1:4">
      <c r="A7" t="s">
        <v>20</v>
      </c>
      <c r="B7" s="5">
        <f>'Financial Statements'!B6/'Financial Statements'!B7</f>
        <v>1.5783442152095497</v>
      </c>
      <c r="C7" s="5">
        <f>'Financial Statements'!C6/'Financial Statements'!C7</f>
        <v>1.565596488691853</v>
      </c>
      <c r="D7" s="5">
        <f>'Financial Statements'!D6/'Financial Statements'!D7</f>
        <v>0.56523938987222355</v>
      </c>
    </row>
    <row r="8" spans="1:4">
      <c r="A8" t="s">
        <v>21</v>
      </c>
      <c r="B8" s="3">
        <f>'Financial Statements'!B11/'Financial Statements'!B10</f>
        <v>0.46357744227938269</v>
      </c>
      <c r="C8" s="3">
        <f>'Financial Statements'!C11/'Financial Statements'!C10</f>
        <v>0.48651648534905462</v>
      </c>
      <c r="D8" s="3">
        <f>'Financial Statements'!D11/'Financial Statements'!D10</f>
        <v>0.56332732883160264</v>
      </c>
    </row>
    <row r="9" spans="1:4">
      <c r="A9" t="s">
        <v>22</v>
      </c>
      <c r="B9" s="2">
        <f>'Financial Statements'!B9-'Financial Statements'!B6</f>
        <v>5863505</v>
      </c>
      <c r="C9" s="2">
        <f>'Financial Statements'!C9-'Financial Statements'!C6</f>
        <v>11491840</v>
      </c>
      <c r="D9" s="2">
        <f>'Financial Statements'!D9-'Financial Statements'!D6</f>
        <v>18732789</v>
      </c>
    </row>
    <row r="10" spans="1:4">
      <c r="A10" t="s">
        <v>23</v>
      </c>
      <c r="B10" s="2">
        <f>'Financial Statements'!B13-'Financial Statements'!B14</f>
        <v>-5478872</v>
      </c>
      <c r="C10" s="2">
        <f>'Financial Statements'!C13-'Financial Statements'!C14</f>
        <v>-7287317</v>
      </c>
      <c r="D10" s="2">
        <f>'Financial Statements'!D13-'Financial Statements'!D14</f>
        <v>-6401640</v>
      </c>
    </row>
    <row r="11" spans="1:4">
      <c r="A11" t="s">
        <v>24</v>
      </c>
      <c r="B11" s="3">
        <f>B10/'Financial Statements'!B3</f>
        <v>-0.1623587402990683</v>
      </c>
      <c r="C11" s="3">
        <f>C10/'Financial Statements'!C3</f>
        <v>-0.28444321014567564</v>
      </c>
      <c r="D11" s="3">
        <f>D10/'Financial Statements'!D3</f>
        <v>-0.27043364204578124</v>
      </c>
    </row>
    <row r="12" spans="1:4">
      <c r="A12" t="s">
        <v>25</v>
      </c>
      <c r="B12" s="5">
        <f>B9/'Financial Statements'!B12</f>
        <v>0.24056876668845673</v>
      </c>
      <c r="C12" s="5">
        <f>C9/'Financial Statements'!C12</f>
        <v>0.37110503423000751</v>
      </c>
      <c r="D12" s="5">
        <f>D9/'Financial Statements'!D12</f>
        <v>0.63887170023978168</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4A6F-3856-4AC1-8AF2-C60979F0E560}">
  <dimension ref="A1:D18"/>
  <sheetViews>
    <sheetView workbookViewId="0">
      <selection activeCell="A21" sqref="A21"/>
    </sheetView>
  </sheetViews>
  <sheetFormatPr baseColWidth="10" defaultColWidth="8.83203125" defaultRowHeight="17"/>
  <cols>
    <col min="1" max="1" width="32.1640625" bestFit="1" customWidth="1"/>
    <col min="2" max="4" width="12.5" bestFit="1" customWidth="1"/>
  </cols>
  <sheetData>
    <row r="1" spans="1:4">
      <c r="A1" t="s">
        <v>26</v>
      </c>
      <c r="B1">
        <v>2023</v>
      </c>
      <c r="C1">
        <v>2024</v>
      </c>
      <c r="D1">
        <v>2025</v>
      </c>
    </row>
    <row r="2" spans="1:4">
      <c r="A2" s="12" t="s">
        <v>27</v>
      </c>
    </row>
    <row r="3" spans="1:4">
      <c r="A3" s="12" t="s">
        <v>28</v>
      </c>
      <c r="B3" s="10">
        <f>'Financial Statements'!B4</f>
        <v>2163234</v>
      </c>
      <c r="C3" s="10">
        <f>'Financial Statements'!C4</f>
        <v>575387</v>
      </c>
      <c r="D3" s="10">
        <f>'Financial Statements'!D4</f>
        <v>1346120</v>
      </c>
    </row>
    <row r="4" spans="1:4">
      <c r="A4" s="12" t="s">
        <v>29</v>
      </c>
      <c r="B4" s="6">
        <v>2150207</v>
      </c>
      <c r="C4" s="6">
        <v>2856045</v>
      </c>
      <c r="D4" s="6">
        <v>3413557</v>
      </c>
    </row>
    <row r="5" spans="1:4">
      <c r="A5" s="12" t="s">
        <v>30</v>
      </c>
      <c r="B5" s="6">
        <v>136672</v>
      </c>
      <c r="C5" s="6">
        <v>189739</v>
      </c>
      <c r="D5" s="6">
        <v>277693</v>
      </c>
    </row>
    <row r="6" spans="1:4">
      <c r="A6" s="12" t="s">
        <v>31</v>
      </c>
      <c r="B6" s="4">
        <f>SUM(B3:B5)</f>
        <v>4450113</v>
      </c>
      <c r="C6" s="4">
        <f>SUM(C3:C5)</f>
        <v>3621171</v>
      </c>
      <c r="D6" s="4">
        <f>SUM(D3:D5)</f>
        <v>5037370</v>
      </c>
    </row>
    <row r="7" spans="1:4">
      <c r="A7" s="12" t="s">
        <v>32</v>
      </c>
      <c r="B7" s="6">
        <v>315752</v>
      </c>
      <c r="C7" s="6">
        <v>564246</v>
      </c>
      <c r="D7" s="6">
        <v>817154</v>
      </c>
    </row>
    <row r="8" spans="1:4">
      <c r="A8" s="12" t="s">
        <v>33</v>
      </c>
      <c r="B8" s="5">
        <f>B3/B7</f>
        <v>6.8510539917403532</v>
      </c>
      <c r="C8" s="5">
        <f>C3/C7</f>
        <v>1.01974493394725</v>
      </c>
      <c r="D8" s="5">
        <f>D3/D7</f>
        <v>1.6473271867971031</v>
      </c>
    </row>
    <row r="9" spans="1:4">
      <c r="A9" s="12" t="s">
        <v>34</v>
      </c>
      <c r="B9" s="5">
        <f>B6/B7</f>
        <v>14.093696952038309</v>
      </c>
      <c r="C9" s="5">
        <f>C6/C7</f>
        <v>6.4177167405706026</v>
      </c>
      <c r="D9" s="5">
        <f>D6/D7</f>
        <v>6.1645295745967097</v>
      </c>
    </row>
    <row r="10" spans="1:4">
      <c r="A10" s="12" t="s">
        <v>35</v>
      </c>
      <c r="B10" s="10">
        <f>'Financial Ratios'!B9</f>
        <v>5863505</v>
      </c>
      <c r="C10" s="10">
        <f>'Financial Ratios'!C9</f>
        <v>11491840</v>
      </c>
      <c r="D10" s="10">
        <f>'Financial Ratios'!D9</f>
        <v>18732789</v>
      </c>
    </row>
    <row r="11" spans="1:4">
      <c r="A11" s="12" t="s">
        <v>36</v>
      </c>
      <c r="B11" s="5">
        <f>B10/B6</f>
        <v>1.3176081146703467</v>
      </c>
      <c r="C11" s="5">
        <f>C10/C6</f>
        <v>3.1735148657713208</v>
      </c>
      <c r="D11" s="5">
        <f>D10/D6</f>
        <v>3.7187637596602987</v>
      </c>
    </row>
    <row r="12" spans="1:4">
      <c r="A12" s="12" t="s">
        <v>7</v>
      </c>
      <c r="B12" s="10">
        <f>'Financial Statements'!B9</f>
        <v>10932288</v>
      </c>
      <c r="C12" s="10">
        <f>'Financial Statements'!C9</f>
        <v>15390551</v>
      </c>
      <c r="D12" s="10">
        <f>'Financial Statements'!D9</f>
        <v>22512096</v>
      </c>
    </row>
    <row r="13" spans="1:4">
      <c r="A13" s="12" t="s">
        <v>11</v>
      </c>
      <c r="B13" s="10">
        <f>'Financial Statements'!B13</f>
        <v>4444179</v>
      </c>
      <c r="C13" s="10">
        <f>'Financial Statements'!C13</f>
        <v>5111700</v>
      </c>
      <c r="D13" s="10">
        <f>'Financial Statements'!D13</f>
        <v>4432277</v>
      </c>
    </row>
    <row r="14" spans="1:4">
      <c r="A14" s="12" t="s">
        <v>37</v>
      </c>
      <c r="B14" s="5">
        <f>B12/B13</f>
        <v>2.4599117182273713</v>
      </c>
      <c r="C14" s="5">
        <f>C12/C13</f>
        <v>3.0108478588336562</v>
      </c>
      <c r="D14" s="5">
        <f>D12/D13</f>
        <v>5.07912659790893</v>
      </c>
    </row>
    <row r="15" spans="1:4">
      <c r="A15" s="12" t="s">
        <v>38</v>
      </c>
      <c r="B15" s="6">
        <v>17208396</v>
      </c>
      <c r="C15" s="6">
        <v>15327395</v>
      </c>
      <c r="D15" s="6">
        <v>18412127</v>
      </c>
    </row>
    <row r="16" spans="1:4">
      <c r="A16" s="12" t="s">
        <v>39</v>
      </c>
      <c r="B16" s="6">
        <v>10937185</v>
      </c>
      <c r="C16" s="6">
        <v>12054922</v>
      </c>
      <c r="D16" s="6">
        <v>16785357</v>
      </c>
    </row>
    <row r="17" spans="1:4">
      <c r="A17" s="12" t="s">
        <v>40</v>
      </c>
      <c r="B17" s="5">
        <f>B15/B16</f>
        <v>1.5733843763271811</v>
      </c>
      <c r="C17" s="5">
        <f>C15/C16</f>
        <v>1.2714636394992851</v>
      </c>
      <c r="D17" s="5">
        <f>D15/D16</f>
        <v>1.0969160203146111</v>
      </c>
    </row>
    <row r="18" spans="1:4">
      <c r="A18" s="12" t="s">
        <v>20</v>
      </c>
      <c r="B18" s="9">
        <f>'Financial Ratios'!B7</f>
        <v>1.5783442152095497</v>
      </c>
      <c r="C18" s="9">
        <f>'Financial Ratios'!C7</f>
        <v>1.565596488691853</v>
      </c>
      <c r="D18" s="9">
        <f>'Financial Ratios'!D7</f>
        <v>0.56523938987222355</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8EA0-6DDA-4595-ADBF-17BF7A9BEDAB}">
  <dimension ref="A1:F27"/>
  <sheetViews>
    <sheetView workbookViewId="0">
      <selection activeCell="A30" sqref="A30"/>
    </sheetView>
  </sheetViews>
  <sheetFormatPr baseColWidth="10" defaultColWidth="8.83203125" defaultRowHeight="17"/>
  <cols>
    <col min="1" max="1" width="33.5" bestFit="1" customWidth="1"/>
    <col min="2" max="6" width="18.6640625" customWidth="1"/>
  </cols>
  <sheetData>
    <row r="1" spans="1:4">
      <c r="A1" t="s">
        <v>0</v>
      </c>
      <c r="B1" t="s">
        <v>41</v>
      </c>
      <c r="C1" t="s">
        <v>42</v>
      </c>
      <c r="D1" t="s">
        <v>43</v>
      </c>
    </row>
    <row r="2" spans="1:4">
      <c r="A2" t="s">
        <v>44</v>
      </c>
    </row>
    <row r="3" spans="1:4">
      <c r="A3" t="s">
        <v>14</v>
      </c>
      <c r="B3" s="16">
        <f>'Financial Ratios'!D2</f>
        <v>-7.6028788132204372E-2</v>
      </c>
      <c r="C3" s="15">
        <v>-0.02</v>
      </c>
      <c r="D3" s="15">
        <v>-0.1</v>
      </c>
    </row>
    <row r="4" spans="1:4">
      <c r="A4" t="s">
        <v>2</v>
      </c>
      <c r="B4" s="10">
        <f>'Financial Statements'!D3</f>
        <v>23671759</v>
      </c>
      <c r="C4" s="4">
        <f>$B$4*(1+C3)</f>
        <v>23198323.82</v>
      </c>
      <c r="D4" s="4">
        <f>$B$4*(1+D3)</f>
        <v>21304583.100000001</v>
      </c>
    </row>
    <row r="5" spans="1:4">
      <c r="A5" t="s">
        <v>16</v>
      </c>
      <c r="B5" s="16">
        <f>'Financial Ratios'!D3</f>
        <v>5.6866074042068442E-2</v>
      </c>
      <c r="C5" s="15">
        <v>5.5E-2</v>
      </c>
      <c r="D5" s="15">
        <v>0.03</v>
      </c>
    </row>
    <row r="6" spans="1:4">
      <c r="A6" t="s">
        <v>3</v>
      </c>
      <c r="B6" s="10">
        <f>'Financial Statements'!D4</f>
        <v>1346120</v>
      </c>
      <c r="C6" s="4">
        <f>C4*C5</f>
        <v>1275907.8101000001</v>
      </c>
      <c r="D6" s="4">
        <f>D4*D5</f>
        <v>639137.49300000002</v>
      </c>
    </row>
    <row r="7" spans="1:4">
      <c r="A7" t="s">
        <v>45</v>
      </c>
      <c r="B7" s="4">
        <f>'Credit Analysis'!D4+'Credit Analysis'!D5</f>
        <v>3691250</v>
      </c>
      <c r="C7" s="4">
        <f>$B$7</f>
        <v>3691250</v>
      </c>
      <c r="D7" s="4">
        <f>$B$7</f>
        <v>3691250</v>
      </c>
    </row>
    <row r="8" spans="1:4">
      <c r="A8" t="s">
        <v>46</v>
      </c>
      <c r="B8" s="10">
        <f>'Credit Analysis'!D6</f>
        <v>5037370</v>
      </c>
      <c r="C8" s="4">
        <f>C6+C7</f>
        <v>4967157.8101000004</v>
      </c>
      <c r="D8" s="4">
        <f>D6+D7</f>
        <v>4330387.4929999998</v>
      </c>
    </row>
    <row r="9" spans="1:4">
      <c r="A9" t="s">
        <v>18</v>
      </c>
      <c r="B9" s="16">
        <f>'Financial Ratios'!D5</f>
        <v>0.18723902182343102</v>
      </c>
      <c r="C9" s="15">
        <v>0.18</v>
      </c>
      <c r="D9" s="15">
        <v>0.13</v>
      </c>
    </row>
    <row r="10" spans="1:4">
      <c r="A10" t="s">
        <v>11</v>
      </c>
      <c r="B10" s="10">
        <f>'Financial Statements'!D13</f>
        <v>4432277</v>
      </c>
      <c r="C10" s="4">
        <f>C4*C9</f>
        <v>4175698.2875999999</v>
      </c>
      <c r="D10" s="4">
        <f>D4*D9</f>
        <v>2769595.8030000003</v>
      </c>
    </row>
    <row r="11" spans="1:4">
      <c r="A11" t="s">
        <v>47</v>
      </c>
      <c r="B11" s="10">
        <f>'Financial Statements'!D14</f>
        <v>10833917</v>
      </c>
      <c r="C11" s="6">
        <v>9000000</v>
      </c>
      <c r="D11" s="6">
        <v>8500000</v>
      </c>
    </row>
    <row r="12" spans="1:4">
      <c r="A12" t="s">
        <v>23</v>
      </c>
      <c r="B12" s="17">
        <f>'Financial Ratios'!D10</f>
        <v>-6401640</v>
      </c>
      <c r="C12" s="18">
        <f>C10-C11</f>
        <v>-4824301.7124000005</v>
      </c>
      <c r="D12" s="18">
        <f>D10-D11</f>
        <v>-5730404.1969999997</v>
      </c>
    </row>
    <row r="13" spans="1:4">
      <c r="A13" t="s">
        <v>48</v>
      </c>
      <c r="B13" s="10">
        <f>'Financial Ratios'!D9</f>
        <v>18732789</v>
      </c>
      <c r="C13" s="4">
        <f>$B$13-C12</f>
        <v>23557090.712400001</v>
      </c>
      <c r="D13" s="4">
        <f>$B$13-D12</f>
        <v>24463193.197000001</v>
      </c>
    </row>
    <row r="14" spans="1:4">
      <c r="A14" t="s">
        <v>36</v>
      </c>
      <c r="B14" s="9">
        <f>'Credit Analysis'!D11</f>
        <v>3.7187637596602987</v>
      </c>
      <c r="C14" s="5">
        <f>C13/C8</f>
        <v>4.7425694155518974</v>
      </c>
      <c r="D14" s="5">
        <f>D13/D8</f>
        <v>5.6491926499751699</v>
      </c>
    </row>
    <row r="15" spans="1:4">
      <c r="A15" t="s">
        <v>49</v>
      </c>
      <c r="B15" s="3" t="s">
        <v>15</v>
      </c>
      <c r="C15" s="15">
        <v>0.05</v>
      </c>
      <c r="D15" s="15">
        <v>7.0000000000000007E-2</v>
      </c>
    </row>
    <row r="16" spans="1:4">
      <c r="A16" t="s">
        <v>50</v>
      </c>
      <c r="B16" s="10">
        <f>'Credit Analysis'!D7</f>
        <v>817154</v>
      </c>
      <c r="C16" s="4">
        <f>$B$16+MAX(0,C13-$B$13)*C15/2</f>
        <v>937761.54281000001</v>
      </c>
      <c r="D16" s="4">
        <f>$B$16+MAX(0,D13-$B$13)*D15/2</f>
        <v>1017718.146895</v>
      </c>
    </row>
    <row r="17" spans="1:6">
      <c r="A17" t="s">
        <v>51</v>
      </c>
      <c r="B17" s="9">
        <f>'Credit Analysis'!D8</f>
        <v>1.6473271867971031</v>
      </c>
      <c r="C17" s="5">
        <f>C6/C16</f>
        <v>1.3605887550866564</v>
      </c>
      <c r="D17" s="5">
        <f>D6/D16</f>
        <v>0.62801031400488638</v>
      </c>
    </row>
    <row r="20" spans="1:6">
      <c r="A20" t="s">
        <v>52</v>
      </c>
    </row>
    <row r="22" spans="1:6">
      <c r="A22" t="s">
        <v>53</v>
      </c>
      <c r="B22" s="15">
        <v>-0.1</v>
      </c>
      <c r="C22" s="15">
        <v>-0.06</v>
      </c>
      <c r="D22" s="15">
        <v>-0.02</v>
      </c>
      <c r="E22" s="15">
        <v>0.02</v>
      </c>
      <c r="F22" s="15">
        <v>0.06</v>
      </c>
    </row>
    <row r="23" spans="1:6">
      <c r="A23" s="15">
        <v>0.03</v>
      </c>
      <c r="B23" s="5">
        <f>($B$13-($B$4*(1+B$22)*$C$9-$C$11))/($B$4*(1+B$22)*$A23+$B$7)</f>
        <v>5.5186664197212529</v>
      </c>
      <c r="C23" s="5">
        <f t="shared" ref="C23:F27" si="0">($B$13-($B$4*(1+C$22)*$C$9-$C$11))/($B$4*(1+C$22)*$A23+$B$7)</f>
        <v>5.4435996594365754</v>
      </c>
      <c r="D23" s="5">
        <f t="shared" si="0"/>
        <v>5.3695049792251828</v>
      </c>
      <c r="E23" s="5">
        <f t="shared" si="0"/>
        <v>5.296363618571287</v>
      </c>
      <c r="F23" s="5">
        <f t="shared" si="0"/>
        <v>5.2241572966277392</v>
      </c>
    </row>
    <row r="24" spans="1:6">
      <c r="A24" s="15">
        <v>0.04</v>
      </c>
      <c r="B24" s="5">
        <f t="shared" ref="B24:B27" si="1">($B$13-($B$4*(1+B$22)*$C$9-$C$11))/($B$4*(1+B$22)*$A24+$B$7)</f>
        <v>5.2598909982375259</v>
      </c>
      <c r="C24" s="5">
        <f t="shared" si="0"/>
        <v>5.1792035506886309</v>
      </c>
      <c r="D24" s="5">
        <f t="shared" si="0"/>
        <v>5.0998392904356491</v>
      </c>
      <c r="E24" s="5">
        <f t="shared" si="0"/>
        <v>5.0217659339151695</v>
      </c>
      <c r="F24" s="5">
        <f t="shared" si="0"/>
        <v>4.9449522393116183</v>
      </c>
    </row>
    <row r="25" spans="1:6">
      <c r="A25" s="15">
        <v>5.5E-2</v>
      </c>
      <c r="B25" s="5">
        <f t="shared" si="1"/>
        <v>4.9142409761595838</v>
      </c>
      <c r="C25" s="5">
        <f t="shared" si="0"/>
        <v>4.827495720395496</v>
      </c>
      <c r="D25" s="5">
        <f t="shared" si="0"/>
        <v>4.7425694155518974</v>
      </c>
      <c r="E25" s="5">
        <f t="shared" si="0"/>
        <v>4.6594054431940801</v>
      </c>
      <c r="F25" s="5">
        <f t="shared" si="0"/>
        <v>4.5779495105707637</v>
      </c>
    </row>
    <row r="26" spans="1:6">
      <c r="A26" s="15">
        <v>7.0000000000000007E-2</v>
      </c>
      <c r="B26" s="5">
        <f t="shared" si="1"/>
        <v>4.611218039435041</v>
      </c>
      <c r="C26" s="5">
        <f t="shared" si="0"/>
        <v>4.5205177327517463</v>
      </c>
      <c r="D26" s="5">
        <f t="shared" si="0"/>
        <v>4.4320795333832006</v>
      </c>
      <c r="E26" s="5">
        <f t="shared" si="0"/>
        <v>4.3458198566560782</v>
      </c>
      <c r="F26" s="5">
        <f t="shared" si="0"/>
        <v>4.2616591857238806</v>
      </c>
    </row>
    <row r="27" spans="1:6">
      <c r="A27" s="15">
        <v>8.5000000000000006E-2</v>
      </c>
      <c r="B27" s="5">
        <f t="shared" si="1"/>
        <v>4.3433947405721778</v>
      </c>
      <c r="C27" s="5">
        <f t="shared" si="0"/>
        <v>4.2502467146072309</v>
      </c>
      <c r="D27" s="5">
        <f t="shared" si="0"/>
        <v>4.1597463247261803</v>
      </c>
      <c r="E27" s="5">
        <f t="shared" si="0"/>
        <v>4.0717822682932017</v>
      </c>
      <c r="F27" s="5">
        <f t="shared" si="0"/>
        <v>3.98624939511964</v>
      </c>
    </row>
  </sheetData>
  <phoneticPr fontId="6" type="noConversion"/>
  <conditionalFormatting sqref="B23:F27">
    <cfRule type="colorScale" priority="1">
      <colorScale>
        <cfvo type="min"/>
        <cfvo type="percentile" val="50"/>
        <cfvo type="max"/>
        <color rgb="FF5A8AC6"/>
        <color rgb="FFFCFCFF"/>
        <color rgb="FFF8696B"/>
      </colorScale>
    </cfRule>
    <cfRule type="colorScale" priority="2">
      <colorScale>
        <cfvo type="min"/>
        <cfvo type="percentile" val="50"/>
        <cfvo type="max"/>
        <color rgb="FFF8696B"/>
        <color rgb="FFFCFCFF"/>
        <color rgb="FF5A8AC6"/>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6138-076E-4A95-B9E6-1E9B67539B81}">
  <dimension ref="A1:H29"/>
  <sheetViews>
    <sheetView tabSelected="1" topLeftCell="A9" workbookViewId="0">
      <selection activeCell="A29" sqref="A29"/>
    </sheetView>
  </sheetViews>
  <sheetFormatPr baseColWidth="10" defaultColWidth="8.83203125" defaultRowHeight="17"/>
  <cols>
    <col min="1" max="1" width="34.5" bestFit="1" customWidth="1"/>
    <col min="2" max="4" width="16.6640625" bestFit="1" customWidth="1"/>
  </cols>
  <sheetData>
    <row r="1" spans="1:4">
      <c r="A1" t="s">
        <v>88</v>
      </c>
    </row>
    <row r="3" spans="1:4">
      <c r="A3" t="s">
        <v>54</v>
      </c>
    </row>
    <row r="4" spans="1:4">
      <c r="A4" t="s">
        <v>55</v>
      </c>
      <c r="B4" t="s">
        <v>56</v>
      </c>
      <c r="C4" t="s">
        <v>57</v>
      </c>
      <c r="D4" t="s">
        <v>58</v>
      </c>
    </row>
    <row r="5" spans="1:4">
      <c r="A5" t="s">
        <v>59</v>
      </c>
      <c r="B5">
        <v>8</v>
      </c>
      <c r="C5">
        <v>9</v>
      </c>
      <c r="D5">
        <v>9</v>
      </c>
    </row>
    <row r="6" spans="1:4">
      <c r="A6" t="s">
        <v>60</v>
      </c>
      <c r="B6">
        <v>7</v>
      </c>
      <c r="C6">
        <v>8</v>
      </c>
      <c r="D6">
        <v>8</v>
      </c>
    </row>
    <row r="7" spans="1:4">
      <c r="A7" t="s">
        <v>61</v>
      </c>
      <c r="B7">
        <v>11</v>
      </c>
      <c r="C7">
        <v>12</v>
      </c>
      <c r="D7">
        <v>12</v>
      </c>
    </row>
    <row r="8" spans="1:4">
      <c r="A8" t="s">
        <v>90</v>
      </c>
      <c r="B8" t="s">
        <v>62</v>
      </c>
      <c r="C8" t="s">
        <v>63</v>
      </c>
      <c r="D8">
        <v>88</v>
      </c>
    </row>
    <row r="9" spans="1:4">
      <c r="A9" t="s">
        <v>32</v>
      </c>
      <c r="B9" t="s">
        <v>64</v>
      </c>
      <c r="C9" t="s">
        <v>65</v>
      </c>
      <c r="D9">
        <v>89</v>
      </c>
    </row>
    <row r="11" spans="1:4">
      <c r="A11" t="s">
        <v>66</v>
      </c>
      <c r="B11" s="11" t="s">
        <v>67</v>
      </c>
    </row>
    <row r="12" spans="1:4">
      <c r="A12" t="s">
        <v>68</v>
      </c>
      <c r="B12" s="11" t="s">
        <v>69</v>
      </c>
    </row>
    <row r="13" spans="1:4">
      <c r="A13" t="s">
        <v>70</v>
      </c>
      <c r="B13" s="11" t="s">
        <v>71</v>
      </c>
    </row>
    <row r="15" spans="1:4">
      <c r="A15" t="s">
        <v>89</v>
      </c>
    </row>
    <row r="16" spans="1:4">
      <c r="A16" s="13" t="s">
        <v>72</v>
      </c>
      <c r="B16" t="s">
        <v>73</v>
      </c>
    </row>
    <row r="17" spans="1:8">
      <c r="A17" s="13" t="s">
        <v>31</v>
      </c>
      <c r="B17" t="s">
        <v>74</v>
      </c>
    </row>
    <row r="18" spans="1:8">
      <c r="A18" s="13" t="s">
        <v>51</v>
      </c>
      <c r="B18" t="s">
        <v>75</v>
      </c>
    </row>
    <row r="19" spans="1:8">
      <c r="A19" s="13" t="s">
        <v>35</v>
      </c>
      <c r="B19" t="s">
        <v>76</v>
      </c>
    </row>
    <row r="20" spans="1:8">
      <c r="A20" s="13" t="s">
        <v>77</v>
      </c>
      <c r="B20" t="s">
        <v>78</v>
      </c>
    </row>
    <row r="21" spans="1:8">
      <c r="A21" s="13" t="s">
        <v>19</v>
      </c>
      <c r="B21" t="s">
        <v>79</v>
      </c>
    </row>
    <row r="22" spans="1:8">
      <c r="A22" s="13" t="s">
        <v>40</v>
      </c>
      <c r="B22" t="s">
        <v>80</v>
      </c>
    </row>
    <row r="23" spans="1:8">
      <c r="A23" s="13"/>
      <c r="B23" s="13"/>
      <c r="C23" s="13"/>
      <c r="D23" s="13"/>
      <c r="E23" s="13"/>
      <c r="F23" s="13"/>
      <c r="G23" s="13"/>
      <c r="H23" s="13"/>
    </row>
    <row r="24" spans="1:8">
      <c r="A24" s="13" t="s">
        <v>81</v>
      </c>
      <c r="B24" s="13"/>
      <c r="C24" s="13"/>
      <c r="D24" s="13"/>
      <c r="E24" s="13"/>
      <c r="F24" s="13"/>
      <c r="G24" s="13"/>
      <c r="H24" s="13"/>
    </row>
    <row r="25" spans="1:8" ht="15" customHeight="1">
      <c r="A25" s="13" t="s">
        <v>82</v>
      </c>
      <c r="B25" s="14" t="s">
        <v>83</v>
      </c>
      <c r="C25" s="14"/>
      <c r="D25" s="14"/>
      <c r="E25" s="14"/>
      <c r="F25" s="14"/>
      <c r="G25" s="14"/>
      <c r="H25" s="14"/>
    </row>
    <row r="26" spans="1:8" ht="15" customHeight="1">
      <c r="A26" s="13" t="s">
        <v>91</v>
      </c>
      <c r="B26" t="s">
        <v>92</v>
      </c>
    </row>
    <row r="27" spans="1:8" ht="15" customHeight="1">
      <c r="A27" s="13" t="s">
        <v>84</v>
      </c>
      <c r="B27" t="s">
        <v>85</v>
      </c>
    </row>
    <row r="29" spans="1:8">
      <c r="A29" t="s">
        <v>93</v>
      </c>
      <c r="B29" t="s">
        <v>86</v>
      </c>
    </row>
  </sheetData>
  <phoneticPr fontId="6" type="noConversion"/>
  <hyperlinks>
    <hyperlink ref="B11" r:id="rId1" xr:uid="{07A2C119-5A4C-4924-97D7-66DFAD7EF9E6}"/>
    <hyperlink ref="B12" r:id="rId2" xr:uid="{76DA80A0-5380-4E86-81F3-68C52163B73A}"/>
    <hyperlink ref="B13" r:id="rId3" xr:uid="{5E6E0234-AC4E-47B0-8CD0-F042F1A0C8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5</vt:i4>
      </vt:variant>
    </vt:vector>
  </HeadingPairs>
  <TitlesOfParts>
    <vt:vector size="5" baseType="lpstr">
      <vt:lpstr>Financial Statements</vt:lpstr>
      <vt:lpstr>Financial Ratios</vt:lpstr>
      <vt:lpstr>Credit Analysis</vt:lpstr>
      <vt:lpstr>Scenario Analysis</vt:lpstr>
      <vt:lpstr>Sources&amp;Assumptions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Nia Lee</cp:lastModifiedBy>
  <cp:revision/>
  <dcterms:created xsi:type="dcterms:W3CDTF">2026-10-30T02:04:58Z</dcterms:created>
  <dcterms:modified xsi:type="dcterms:W3CDTF">2026-10-30T04:29:11Z</dcterms:modified>
  <cp:category/>
  <cp:contentStatus/>
</cp:coreProperties>
</file>